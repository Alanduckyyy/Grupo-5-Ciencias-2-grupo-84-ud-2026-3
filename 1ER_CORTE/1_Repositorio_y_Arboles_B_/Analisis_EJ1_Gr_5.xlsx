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tudiantes\Downloads\"/>
    </mc:Choice>
  </mc:AlternateContent>
  <xr:revisionPtr revIDLastSave="0" documentId="8_{BAA9DE7F-52A8-4BFB-912A-FCEECA9E517B}" xr6:coauthVersionLast="47" xr6:coauthVersionMax="47" xr10:uidLastSave="{00000000-0000-0000-0000-000000000000}"/>
  <bookViews>
    <workbookView xWindow="-120" yWindow="-120" windowWidth="29040" windowHeight="15720" xr2:uid="{55CDA7FF-605E-46AB-BD97-E08D1FBF4D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4" i="1" l="1"/>
  <c r="G54" i="1" s="1"/>
  <c r="B53" i="1"/>
  <c r="G53" i="1" s="1"/>
  <c r="B52" i="1"/>
  <c r="G52" i="1" s="1"/>
  <c r="B51" i="1"/>
  <c r="D51" i="1" s="1"/>
  <c r="B50" i="1"/>
  <c r="G50" i="1" s="1"/>
  <c r="B49" i="1"/>
  <c r="D49" i="1" s="1"/>
  <c r="B48" i="1"/>
  <c r="G48" i="1" s="1"/>
  <c r="B47" i="1"/>
  <c r="G47" i="1" s="1"/>
  <c r="B46" i="1"/>
  <c r="G46" i="1" s="1"/>
  <c r="B45" i="1"/>
  <c r="G45" i="1" s="1"/>
  <c r="B44" i="1"/>
  <c r="G44" i="1" s="1"/>
  <c r="B43" i="1"/>
  <c r="D43" i="1" s="1"/>
  <c r="B42" i="1"/>
  <c r="G42" i="1" s="1"/>
  <c r="B41" i="1"/>
  <c r="D41" i="1" s="1"/>
  <c r="B40" i="1"/>
  <c r="G40" i="1" s="1"/>
  <c r="B39" i="1"/>
  <c r="G39" i="1" s="1"/>
  <c r="B38" i="1"/>
  <c r="G38" i="1" s="1"/>
  <c r="B37" i="1"/>
  <c r="G37" i="1" s="1"/>
  <c r="B36" i="1"/>
  <c r="G36" i="1" s="1"/>
  <c r="B35" i="1"/>
  <c r="D35" i="1" s="1"/>
  <c r="B34" i="1"/>
  <c r="G34" i="1" s="1"/>
  <c r="B33" i="1"/>
  <c r="D33" i="1" s="1"/>
  <c r="B32" i="1"/>
  <c r="G32" i="1" s="1"/>
  <c r="B31" i="1"/>
  <c r="G31" i="1" s="1"/>
  <c r="B30" i="1"/>
  <c r="G30" i="1" s="1"/>
  <c r="B29" i="1"/>
  <c r="C29" i="1" s="1"/>
  <c r="E29" i="1" s="1"/>
  <c r="B28" i="1"/>
  <c r="G28" i="1" s="1"/>
  <c r="B27" i="1"/>
  <c r="G27" i="1" s="1"/>
  <c r="B26" i="1"/>
  <c r="D26" i="1" s="1"/>
  <c r="B25" i="1"/>
  <c r="D25" i="1" s="1"/>
  <c r="B24" i="1"/>
  <c r="G24" i="1" s="1"/>
  <c r="B23" i="1"/>
  <c r="G23" i="1" s="1"/>
  <c r="B22" i="1"/>
  <c r="G22" i="1" s="1"/>
  <c r="B21" i="1"/>
  <c r="G21" i="1" s="1"/>
  <c r="B20" i="1"/>
  <c r="G20" i="1" s="1"/>
  <c r="B19" i="1"/>
  <c r="C19" i="1" s="1"/>
  <c r="E19" i="1" s="1"/>
  <c r="B18" i="1"/>
  <c r="D18" i="1" s="1"/>
  <c r="B17" i="1"/>
  <c r="D17" i="1" s="1"/>
  <c r="B16" i="1"/>
  <c r="G16" i="1" s="1"/>
  <c r="B15" i="1"/>
  <c r="G15" i="1" s="1"/>
  <c r="B14" i="1"/>
  <c r="G14" i="1" s="1"/>
  <c r="B13" i="1"/>
  <c r="G13" i="1" s="1"/>
  <c r="B12" i="1"/>
  <c r="G12" i="1" s="1"/>
  <c r="B11" i="1"/>
  <c r="D11" i="1" s="1"/>
  <c r="B10" i="1"/>
  <c r="D10" i="1" s="1"/>
  <c r="B9" i="1"/>
  <c r="D9" i="1" s="1"/>
  <c r="B8" i="1"/>
  <c r="G8" i="1" s="1"/>
  <c r="B7" i="1"/>
  <c r="G7" i="1" s="1"/>
  <c r="B6" i="1"/>
  <c r="G6" i="1" s="1"/>
  <c r="B5" i="1"/>
  <c r="G5" i="1" s="1"/>
  <c r="B4" i="1"/>
  <c r="G4" i="1" s="1"/>
  <c r="B3" i="1"/>
  <c r="D3" i="1" s="1"/>
  <c r="C38" i="1" l="1"/>
  <c r="E38" i="1" s="1"/>
  <c r="D34" i="1"/>
  <c r="C30" i="1"/>
  <c r="E30" i="1" s="1"/>
  <c r="D32" i="1"/>
  <c r="C22" i="1"/>
  <c r="E22" i="1" s="1"/>
  <c r="D24" i="1"/>
  <c r="C54" i="1"/>
  <c r="E54" i="1" s="1"/>
  <c r="D54" i="1"/>
  <c r="D16" i="1"/>
  <c r="C53" i="1"/>
  <c r="E53" i="1" s="1"/>
  <c r="D50" i="1"/>
  <c r="D8" i="1"/>
  <c r="C50" i="1"/>
  <c r="E50" i="1" s="1"/>
  <c r="D48" i="1"/>
  <c r="C46" i="1"/>
  <c r="E46" i="1" s="1"/>
  <c r="D42" i="1"/>
  <c r="C42" i="1"/>
  <c r="E42" i="1" s="1"/>
  <c r="D40" i="1"/>
  <c r="G51" i="1"/>
  <c r="G11" i="1"/>
  <c r="C34" i="1"/>
  <c r="E34" i="1" s="1"/>
  <c r="F34" i="1" s="1"/>
  <c r="H34" i="1" s="1"/>
  <c r="C26" i="1"/>
  <c r="E26" i="1" s="1"/>
  <c r="F26" i="1" s="1"/>
  <c r="C18" i="1"/>
  <c r="E18" i="1" s="1"/>
  <c r="F18" i="1" s="1"/>
  <c r="C10" i="1"/>
  <c r="E10" i="1" s="1"/>
  <c r="F10" i="1" s="1"/>
  <c r="D47" i="1"/>
  <c r="D39" i="1"/>
  <c r="D31" i="1"/>
  <c r="D23" i="1"/>
  <c r="D15" i="1"/>
  <c r="D7" i="1"/>
  <c r="G26" i="1"/>
  <c r="G18" i="1"/>
  <c r="G10" i="1"/>
  <c r="C51" i="1"/>
  <c r="E51" i="1" s="1"/>
  <c r="F51" i="1" s="1"/>
  <c r="G43" i="1"/>
  <c r="G19" i="1"/>
  <c r="C49" i="1"/>
  <c r="E49" i="1" s="1"/>
  <c r="F49" i="1" s="1"/>
  <c r="C41" i="1"/>
  <c r="E41" i="1" s="1"/>
  <c r="F41" i="1" s="1"/>
  <c r="H41" i="1" s="1"/>
  <c r="C33" i="1"/>
  <c r="E33" i="1" s="1"/>
  <c r="F33" i="1" s="1"/>
  <c r="H33" i="1" s="1"/>
  <c r="C25" i="1"/>
  <c r="E25" i="1" s="1"/>
  <c r="F25" i="1" s="1"/>
  <c r="H25" i="1" s="1"/>
  <c r="C17" i="1"/>
  <c r="E17" i="1" s="1"/>
  <c r="F17" i="1" s="1"/>
  <c r="C9" i="1"/>
  <c r="E9" i="1" s="1"/>
  <c r="F9" i="1" s="1"/>
  <c r="D46" i="1"/>
  <c r="F46" i="1" s="1"/>
  <c r="H46" i="1" s="1"/>
  <c r="D38" i="1"/>
  <c r="F38" i="1" s="1"/>
  <c r="H38" i="1" s="1"/>
  <c r="D30" i="1"/>
  <c r="F30" i="1" s="1"/>
  <c r="H30" i="1" s="1"/>
  <c r="D22" i="1"/>
  <c r="F22" i="1" s="1"/>
  <c r="H22" i="1" s="1"/>
  <c r="D14" i="1"/>
  <c r="D6" i="1"/>
  <c r="G49" i="1"/>
  <c r="G41" i="1"/>
  <c r="G33" i="1"/>
  <c r="G25" i="1"/>
  <c r="G17" i="1"/>
  <c r="G9" i="1"/>
  <c r="C35" i="1"/>
  <c r="E35" i="1" s="1"/>
  <c r="F35" i="1" s="1"/>
  <c r="H35" i="1" s="1"/>
  <c r="C11" i="1"/>
  <c r="E11" i="1" s="1"/>
  <c r="F11" i="1" s="1"/>
  <c r="G35" i="1"/>
  <c r="C48" i="1"/>
  <c r="E48" i="1" s="1"/>
  <c r="C40" i="1"/>
  <c r="E40" i="1" s="1"/>
  <c r="C32" i="1"/>
  <c r="E32" i="1" s="1"/>
  <c r="F32" i="1" s="1"/>
  <c r="H32" i="1" s="1"/>
  <c r="C24" i="1"/>
  <c r="E24" i="1" s="1"/>
  <c r="F24" i="1" s="1"/>
  <c r="H24" i="1" s="1"/>
  <c r="C16" i="1"/>
  <c r="E16" i="1" s="1"/>
  <c r="F16" i="1" s="1"/>
  <c r="H16" i="1" s="1"/>
  <c r="C8" i="1"/>
  <c r="E8" i="1" s="1"/>
  <c r="F8" i="1" s="1"/>
  <c r="H8" i="1" s="1"/>
  <c r="D53" i="1"/>
  <c r="D45" i="1"/>
  <c r="D37" i="1"/>
  <c r="D29" i="1"/>
  <c r="F29" i="1" s="1"/>
  <c r="D21" i="1"/>
  <c r="D13" i="1"/>
  <c r="D5" i="1"/>
  <c r="C43" i="1"/>
  <c r="E43" i="1" s="1"/>
  <c r="F43" i="1" s="1"/>
  <c r="H43" i="1" s="1"/>
  <c r="C3" i="1"/>
  <c r="E3" i="1" s="1"/>
  <c r="F3" i="1" s="1"/>
  <c r="H3" i="1" s="1"/>
  <c r="C47" i="1"/>
  <c r="E47" i="1" s="1"/>
  <c r="C39" i="1"/>
  <c r="E39" i="1" s="1"/>
  <c r="C31" i="1"/>
  <c r="E31" i="1" s="1"/>
  <c r="C23" i="1"/>
  <c r="E23" i="1" s="1"/>
  <c r="C15" i="1"/>
  <c r="E15" i="1" s="1"/>
  <c r="C7" i="1"/>
  <c r="E7" i="1" s="1"/>
  <c r="D52" i="1"/>
  <c r="F52" i="1" s="1"/>
  <c r="H52" i="1" s="1"/>
  <c r="D44" i="1"/>
  <c r="D36" i="1"/>
  <c r="D28" i="1"/>
  <c r="D20" i="1"/>
  <c r="D12" i="1"/>
  <c r="D4" i="1"/>
  <c r="G3" i="1"/>
  <c r="C27" i="1"/>
  <c r="E27" i="1" s="1"/>
  <c r="C14" i="1"/>
  <c r="E14" i="1" s="1"/>
  <c r="C6" i="1"/>
  <c r="E6" i="1" s="1"/>
  <c r="D27" i="1"/>
  <c r="D19" i="1"/>
  <c r="F19" i="1" s="1"/>
  <c r="H19" i="1" s="1"/>
  <c r="C45" i="1"/>
  <c r="E45" i="1" s="1"/>
  <c r="C37" i="1"/>
  <c r="E37" i="1" s="1"/>
  <c r="C21" i="1"/>
  <c r="E21" i="1" s="1"/>
  <c r="C13" i="1"/>
  <c r="E13" i="1" s="1"/>
  <c r="C5" i="1"/>
  <c r="E5" i="1" s="1"/>
  <c r="G29" i="1"/>
  <c r="C52" i="1"/>
  <c r="E52" i="1" s="1"/>
  <c r="C44" i="1"/>
  <c r="E44" i="1" s="1"/>
  <c r="C36" i="1"/>
  <c r="E36" i="1" s="1"/>
  <c r="C28" i="1"/>
  <c r="E28" i="1" s="1"/>
  <c r="C20" i="1"/>
  <c r="E20" i="1" s="1"/>
  <c r="C12" i="1"/>
  <c r="E12" i="1" s="1"/>
  <c r="C4" i="1"/>
  <c r="E4" i="1" s="1"/>
  <c r="H26" i="1" l="1"/>
  <c r="F54" i="1"/>
  <c r="H54" i="1" s="1"/>
  <c r="F4" i="1"/>
  <c r="H4" i="1" s="1"/>
  <c r="H49" i="1"/>
  <c r="F48" i="1"/>
  <c r="H48" i="1" s="1"/>
  <c r="H51" i="1"/>
  <c r="F13" i="1"/>
  <c r="H13" i="1" s="1"/>
  <c r="F42" i="1"/>
  <c r="H42" i="1" s="1"/>
  <c r="F21" i="1"/>
  <c r="H21" i="1" s="1"/>
  <c r="F40" i="1"/>
  <c r="H40" i="1" s="1"/>
  <c r="F12" i="1"/>
  <c r="H12" i="1" s="1"/>
  <c r="F20" i="1"/>
  <c r="H20" i="1" s="1"/>
  <c r="H9" i="1"/>
  <c r="F36" i="1"/>
  <c r="H36" i="1" s="1"/>
  <c r="F45" i="1"/>
  <c r="H45" i="1" s="1"/>
  <c r="H17" i="1"/>
  <c r="F53" i="1"/>
  <c r="H53" i="1" s="1"/>
  <c r="H11" i="1"/>
  <c r="H10" i="1"/>
  <c r="F50" i="1"/>
  <c r="H50" i="1" s="1"/>
  <c r="H29" i="1"/>
  <c r="F31" i="1"/>
  <c r="H31" i="1" s="1"/>
  <c r="F27" i="1"/>
  <c r="H27" i="1" s="1"/>
  <c r="F28" i="1"/>
  <c r="H28" i="1" s="1"/>
  <c r="F37" i="1"/>
  <c r="H37" i="1" s="1"/>
  <c r="F39" i="1"/>
  <c r="H39" i="1" s="1"/>
  <c r="F47" i="1"/>
  <c r="H47" i="1" s="1"/>
  <c r="F6" i="1"/>
  <c r="H6" i="1" s="1"/>
  <c r="H18" i="1"/>
  <c r="F15" i="1"/>
  <c r="H15" i="1" s="1"/>
  <c r="F44" i="1"/>
  <c r="H44" i="1" s="1"/>
  <c r="F14" i="1"/>
  <c r="H14" i="1" s="1"/>
  <c r="F5" i="1"/>
  <c r="H5" i="1" s="1"/>
  <c r="F7" i="1"/>
  <c r="H7" i="1" s="1"/>
  <c r="F23" i="1"/>
  <c r="H23" i="1" s="1"/>
  <c r="J3" i="1" l="1"/>
  <c r="I3" i="1"/>
</calcChain>
</file>

<file path=xl/sharedStrings.xml><?xml version="1.0" encoding="utf-8"?>
<sst xmlns="http://schemas.openxmlformats.org/spreadsheetml/2006/main" count="11" uniqueCount="11">
  <si>
    <t>orden(m)</t>
  </si>
  <si>
    <t>Pasos Disco</t>
  </si>
  <si>
    <t>Pasos Ram</t>
  </si>
  <si>
    <t>Datos</t>
  </si>
  <si>
    <t>Valor Tiempo Disco</t>
  </si>
  <si>
    <t>Valor Tiempo RAM</t>
  </si>
  <si>
    <t>Total</t>
  </si>
  <si>
    <t>Desperdiciado</t>
  </si>
  <si>
    <t>ORDEN IDEAL</t>
  </si>
  <si>
    <t>MIN</t>
  </si>
  <si>
    <t>EFICIENCIA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</si>
</sst>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D662F-81E3-4157-8084-BEADDA48C69D}">
  <dimension ref="A1:J54"/>
  <sheetViews>
    <sheetView tabSelected="1" workbookViewId="0">
      <selection activeCell="C2" sqref="C2"/>
    </sheetView>
  </sheetViews>
  <sheetFormatPr baseColWidth="10" defaultRowHeight="15" x14ac:dyDescent="0.25"/>
  <cols>
    <col min="2" max="2" width="14.140625" customWidth="1"/>
    <col min="3" max="3" width="11.7109375" bestFit="1" customWidth="1"/>
    <col min="8" max="8" width="12" bestFit="1" customWidth="1"/>
    <col min="10" max="10" width="11.7109375" bestFit="1" customWidth="1"/>
  </cols>
  <sheetData>
    <row r="1" spans="1:10" x14ac:dyDescent="0.25">
      <c r="A1" s="1" t="s">
        <v>3</v>
      </c>
      <c r="B1" s="1">
        <v>14735917</v>
      </c>
      <c r="C1" s="1"/>
      <c r="D1" s="1"/>
      <c r="E1" s="1"/>
      <c r="F1" s="1"/>
    </row>
    <row r="2" spans="1:10" ht="45" x14ac:dyDescent="0.25">
      <c r="A2" s="1" t="s">
        <v>0</v>
      </c>
      <c r="B2" s="1" t="s">
        <v>1</v>
      </c>
      <c r="C2" s="1" t="s">
        <v>2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10</v>
      </c>
      <c r="I2" s="1" t="s">
        <v>9</v>
      </c>
      <c r="J2" t="s">
        <v>8</v>
      </c>
    </row>
    <row r="3" spans="1:10" x14ac:dyDescent="0.25">
      <c r="A3">
        <v>2</v>
      </c>
      <c r="B3">
        <f>ROUNDUP(LOG(B1,A3),0)</f>
        <v>24</v>
      </c>
      <c r="C3">
        <f>ROUNDUP(LOG(B3,2),0)</f>
        <v>5</v>
      </c>
      <c r="D3">
        <f>B3*1000</f>
        <v>24000</v>
      </c>
      <c r="E3">
        <f>C3</f>
        <v>5</v>
      </c>
      <c r="F3">
        <f>D3*E3</f>
        <v>120000</v>
      </c>
      <c r="G3">
        <f>(A3^B3)-($B$1)</f>
        <v>2041299</v>
      </c>
      <c r="H3">
        <f>F3+G3</f>
        <v>2161299</v>
      </c>
      <c r="I3">
        <f>MIN(H3:H54)</f>
        <v>2059299</v>
      </c>
      <c r="J3">
        <f>_xlfn.XLOOKUP(MIN(H3:H54),H3:H54,A3:A54)</f>
        <v>16</v>
      </c>
    </row>
    <row r="4" spans="1:10" x14ac:dyDescent="0.25">
      <c r="A4">
        <v>3</v>
      </c>
      <c r="B4">
        <f>ROUNDUP(LOG(B1,A4),0)</f>
        <v>16</v>
      </c>
      <c r="C4">
        <f t="shared" ref="C4:C54" si="0">ROUNDUP(LOG(B4,2),0)</f>
        <v>4</v>
      </c>
      <c r="D4">
        <f t="shared" ref="D4:D54" si="1">B4*1000</f>
        <v>16000</v>
      </c>
      <c r="E4">
        <f t="shared" ref="E4:E54" si="2">C4</f>
        <v>4</v>
      </c>
      <c r="F4">
        <f t="shared" ref="F4:F54" si="3">D4*E4</f>
        <v>64000</v>
      </c>
      <c r="G4">
        <f t="shared" ref="G4:G54" si="4">(A4^B4)-($B$1)</f>
        <v>28310804</v>
      </c>
      <c r="H4">
        <f t="shared" ref="H4:H54" si="5">F4+G4</f>
        <v>28374804</v>
      </c>
    </row>
    <row r="5" spans="1:10" x14ac:dyDescent="0.25">
      <c r="A5">
        <v>4</v>
      </c>
      <c r="B5">
        <f>ROUNDUP(LOG(B1,A5),0)</f>
        <v>12</v>
      </c>
      <c r="C5">
        <f t="shared" si="0"/>
        <v>4</v>
      </c>
      <c r="D5">
        <f t="shared" si="1"/>
        <v>12000</v>
      </c>
      <c r="E5">
        <f t="shared" si="2"/>
        <v>4</v>
      </c>
      <c r="F5">
        <f t="shared" si="3"/>
        <v>48000</v>
      </c>
      <c r="G5">
        <f t="shared" si="4"/>
        <v>2041299</v>
      </c>
      <c r="H5">
        <f t="shared" si="5"/>
        <v>2089299</v>
      </c>
    </row>
    <row r="6" spans="1:10" x14ac:dyDescent="0.25">
      <c r="A6">
        <v>5</v>
      </c>
      <c r="B6">
        <f>ROUNDUP(LOG(B1,A6),0)</f>
        <v>11</v>
      </c>
      <c r="C6">
        <f t="shared" si="0"/>
        <v>4</v>
      </c>
      <c r="D6">
        <f t="shared" si="1"/>
        <v>11000</v>
      </c>
      <c r="E6">
        <f t="shared" si="2"/>
        <v>4</v>
      </c>
      <c r="F6">
        <f t="shared" si="3"/>
        <v>44000</v>
      </c>
      <c r="G6">
        <f t="shared" si="4"/>
        <v>34092208</v>
      </c>
      <c r="H6">
        <f t="shared" si="5"/>
        <v>34136208</v>
      </c>
    </row>
    <row r="7" spans="1:10" x14ac:dyDescent="0.25">
      <c r="A7">
        <v>6</v>
      </c>
      <c r="B7">
        <f>ROUNDUP(LOG(B1,A7),0)</f>
        <v>10</v>
      </c>
      <c r="C7">
        <f t="shared" si="0"/>
        <v>4</v>
      </c>
      <c r="D7">
        <f t="shared" si="1"/>
        <v>10000</v>
      </c>
      <c r="E7">
        <f t="shared" si="2"/>
        <v>4</v>
      </c>
      <c r="F7">
        <f t="shared" si="3"/>
        <v>40000</v>
      </c>
      <c r="G7">
        <f t="shared" si="4"/>
        <v>45730259</v>
      </c>
      <c r="H7">
        <f t="shared" si="5"/>
        <v>45770259</v>
      </c>
    </row>
    <row r="8" spans="1:10" x14ac:dyDescent="0.25">
      <c r="A8">
        <v>7</v>
      </c>
      <c r="B8">
        <f>ROUNDUP(LOG(B1,A8),0)</f>
        <v>9</v>
      </c>
      <c r="C8">
        <f t="shared" si="0"/>
        <v>4</v>
      </c>
      <c r="D8">
        <f t="shared" si="1"/>
        <v>9000</v>
      </c>
      <c r="E8">
        <f t="shared" si="2"/>
        <v>4</v>
      </c>
      <c r="F8">
        <f t="shared" si="3"/>
        <v>36000</v>
      </c>
      <c r="G8">
        <f t="shared" si="4"/>
        <v>25617690</v>
      </c>
      <c r="H8">
        <f t="shared" si="5"/>
        <v>25653690</v>
      </c>
    </row>
    <row r="9" spans="1:10" x14ac:dyDescent="0.25">
      <c r="A9">
        <v>8</v>
      </c>
      <c r="B9">
        <f>ROUNDUP(LOG(B1,A9),0)</f>
        <v>8</v>
      </c>
      <c r="C9">
        <f t="shared" si="0"/>
        <v>3</v>
      </c>
      <c r="D9">
        <f t="shared" si="1"/>
        <v>8000</v>
      </c>
      <c r="E9">
        <f t="shared" si="2"/>
        <v>3</v>
      </c>
      <c r="F9">
        <f t="shared" si="3"/>
        <v>24000</v>
      </c>
      <c r="G9">
        <f t="shared" si="4"/>
        <v>2041299</v>
      </c>
      <c r="H9">
        <f t="shared" si="5"/>
        <v>2065299</v>
      </c>
    </row>
    <row r="10" spans="1:10" x14ac:dyDescent="0.25">
      <c r="A10">
        <v>9</v>
      </c>
      <c r="B10">
        <f>ROUNDUP(LOG(B1,A10),0)</f>
        <v>8</v>
      </c>
      <c r="C10">
        <f t="shared" si="0"/>
        <v>3</v>
      </c>
      <c r="D10">
        <f t="shared" si="1"/>
        <v>8000</v>
      </c>
      <c r="E10">
        <f t="shared" si="2"/>
        <v>3</v>
      </c>
      <c r="F10">
        <f t="shared" si="3"/>
        <v>24000</v>
      </c>
      <c r="G10">
        <f t="shared" si="4"/>
        <v>28310804</v>
      </c>
      <c r="H10">
        <f t="shared" si="5"/>
        <v>28334804</v>
      </c>
    </row>
    <row r="11" spans="1:10" x14ac:dyDescent="0.25">
      <c r="A11">
        <v>10</v>
      </c>
      <c r="B11">
        <f>ROUNDUP(LOG(B1,A11),0)</f>
        <v>8</v>
      </c>
      <c r="C11">
        <f t="shared" si="0"/>
        <v>3</v>
      </c>
      <c r="D11">
        <f t="shared" si="1"/>
        <v>8000</v>
      </c>
      <c r="E11">
        <f t="shared" si="2"/>
        <v>3</v>
      </c>
      <c r="F11">
        <f t="shared" si="3"/>
        <v>24000</v>
      </c>
      <c r="G11">
        <f t="shared" si="4"/>
        <v>85264083</v>
      </c>
      <c r="H11">
        <f t="shared" si="5"/>
        <v>85288083</v>
      </c>
    </row>
    <row r="12" spans="1:10" x14ac:dyDescent="0.25">
      <c r="A12">
        <v>11</v>
      </c>
      <c r="B12">
        <f>ROUNDUP(LOG(B1,A12),0)</f>
        <v>7</v>
      </c>
      <c r="C12">
        <f t="shared" si="0"/>
        <v>3</v>
      </c>
      <c r="D12">
        <f t="shared" si="1"/>
        <v>7000</v>
      </c>
      <c r="E12">
        <f t="shared" si="2"/>
        <v>3</v>
      </c>
      <c r="F12">
        <f t="shared" si="3"/>
        <v>21000</v>
      </c>
      <c r="G12">
        <f t="shared" si="4"/>
        <v>4751254</v>
      </c>
      <c r="H12">
        <f t="shared" si="5"/>
        <v>4772254</v>
      </c>
    </row>
    <row r="13" spans="1:10" x14ac:dyDescent="0.25">
      <c r="A13">
        <v>12</v>
      </c>
      <c r="B13">
        <f>ROUNDUP(LOG(B1,A13),0)</f>
        <v>7</v>
      </c>
      <c r="C13">
        <f t="shared" si="0"/>
        <v>3</v>
      </c>
      <c r="D13">
        <f t="shared" si="1"/>
        <v>7000</v>
      </c>
      <c r="E13">
        <f t="shared" si="2"/>
        <v>3</v>
      </c>
      <c r="F13">
        <f t="shared" si="3"/>
        <v>21000</v>
      </c>
      <c r="G13">
        <f t="shared" si="4"/>
        <v>21095891</v>
      </c>
      <c r="H13">
        <f t="shared" si="5"/>
        <v>21116891</v>
      </c>
    </row>
    <row r="14" spans="1:10" x14ac:dyDescent="0.25">
      <c r="A14">
        <v>13</v>
      </c>
      <c r="B14">
        <f>ROUNDUP(LOG(B1,A14),0)</f>
        <v>7</v>
      </c>
      <c r="C14">
        <f t="shared" si="0"/>
        <v>3</v>
      </c>
      <c r="D14">
        <f t="shared" si="1"/>
        <v>7000</v>
      </c>
      <c r="E14">
        <f t="shared" si="2"/>
        <v>3</v>
      </c>
      <c r="F14">
        <f t="shared" si="3"/>
        <v>21000</v>
      </c>
      <c r="G14">
        <f t="shared" si="4"/>
        <v>48012600</v>
      </c>
      <c r="H14">
        <f t="shared" si="5"/>
        <v>48033600</v>
      </c>
    </row>
    <row r="15" spans="1:10" x14ac:dyDescent="0.25">
      <c r="A15">
        <v>14</v>
      </c>
      <c r="B15">
        <f>ROUNDUP(LOG(B1,A15),0)</f>
        <v>7</v>
      </c>
      <c r="C15">
        <f t="shared" si="0"/>
        <v>3</v>
      </c>
      <c r="D15">
        <f t="shared" si="1"/>
        <v>7000</v>
      </c>
      <c r="E15">
        <f t="shared" si="2"/>
        <v>3</v>
      </c>
      <c r="F15">
        <f t="shared" si="3"/>
        <v>21000</v>
      </c>
      <c r="G15">
        <f t="shared" si="4"/>
        <v>90677587</v>
      </c>
      <c r="H15">
        <f t="shared" si="5"/>
        <v>90698587</v>
      </c>
    </row>
    <row r="16" spans="1:10" x14ac:dyDescent="0.25">
      <c r="A16">
        <v>15</v>
      </c>
      <c r="B16">
        <f>ROUNDUP(LOG(B1,A16),0)</f>
        <v>7</v>
      </c>
      <c r="C16">
        <f t="shared" si="0"/>
        <v>3</v>
      </c>
      <c r="D16">
        <f t="shared" si="1"/>
        <v>7000</v>
      </c>
      <c r="E16">
        <f t="shared" si="2"/>
        <v>3</v>
      </c>
      <c r="F16">
        <f t="shared" si="3"/>
        <v>21000</v>
      </c>
      <c r="G16">
        <f t="shared" si="4"/>
        <v>156123458</v>
      </c>
      <c r="H16">
        <f t="shared" si="5"/>
        <v>156144458</v>
      </c>
    </row>
    <row r="17" spans="1:8" x14ac:dyDescent="0.25">
      <c r="A17">
        <v>16</v>
      </c>
      <c r="B17">
        <f>ROUNDUP(LOG(B1,A17),0)</f>
        <v>6</v>
      </c>
      <c r="C17">
        <f t="shared" si="0"/>
        <v>3</v>
      </c>
      <c r="D17">
        <f t="shared" si="1"/>
        <v>6000</v>
      </c>
      <c r="E17">
        <f t="shared" si="2"/>
        <v>3</v>
      </c>
      <c r="F17">
        <f t="shared" si="3"/>
        <v>18000</v>
      </c>
      <c r="G17">
        <f t="shared" si="4"/>
        <v>2041299</v>
      </c>
      <c r="H17">
        <f t="shared" si="5"/>
        <v>2059299</v>
      </c>
    </row>
    <row r="18" spans="1:8" x14ac:dyDescent="0.25">
      <c r="A18">
        <v>17</v>
      </c>
      <c r="B18">
        <f>ROUNDUP(LOG(B1,A18),0)</f>
        <v>6</v>
      </c>
      <c r="C18">
        <f t="shared" si="0"/>
        <v>3</v>
      </c>
      <c r="D18">
        <f t="shared" si="1"/>
        <v>6000</v>
      </c>
      <c r="E18">
        <f t="shared" si="2"/>
        <v>3</v>
      </c>
      <c r="F18">
        <f t="shared" si="3"/>
        <v>18000</v>
      </c>
      <c r="G18">
        <f t="shared" si="4"/>
        <v>9401652</v>
      </c>
      <c r="H18">
        <f t="shared" si="5"/>
        <v>9419652</v>
      </c>
    </row>
    <row r="19" spans="1:8" x14ac:dyDescent="0.25">
      <c r="A19">
        <v>18</v>
      </c>
      <c r="B19">
        <f>ROUNDUP(LOG(B1,A19),0)</f>
        <v>6</v>
      </c>
      <c r="C19">
        <f t="shared" si="0"/>
        <v>3</v>
      </c>
      <c r="D19">
        <f t="shared" si="1"/>
        <v>6000</v>
      </c>
      <c r="E19">
        <f t="shared" si="2"/>
        <v>3</v>
      </c>
      <c r="F19">
        <f t="shared" si="3"/>
        <v>18000</v>
      </c>
      <c r="G19">
        <f t="shared" si="4"/>
        <v>19276307</v>
      </c>
      <c r="H19">
        <f t="shared" si="5"/>
        <v>19294307</v>
      </c>
    </row>
    <row r="20" spans="1:8" x14ac:dyDescent="0.25">
      <c r="A20">
        <v>19</v>
      </c>
      <c r="B20">
        <f>ROUNDUP(LOG(B1,A20),0)</f>
        <v>6</v>
      </c>
      <c r="C20">
        <f t="shared" si="0"/>
        <v>3</v>
      </c>
      <c r="D20">
        <f t="shared" si="1"/>
        <v>6000</v>
      </c>
      <c r="E20">
        <f t="shared" si="2"/>
        <v>3</v>
      </c>
      <c r="F20">
        <f t="shared" si="3"/>
        <v>18000</v>
      </c>
      <c r="G20">
        <f t="shared" si="4"/>
        <v>32309964</v>
      </c>
      <c r="H20">
        <f t="shared" si="5"/>
        <v>32327964</v>
      </c>
    </row>
    <row r="21" spans="1:8" x14ac:dyDescent="0.25">
      <c r="A21">
        <v>20</v>
      </c>
      <c r="B21">
        <f>ROUNDUP(LOG(B1,A21),0)</f>
        <v>6</v>
      </c>
      <c r="C21">
        <f t="shared" si="0"/>
        <v>3</v>
      </c>
      <c r="D21">
        <f t="shared" si="1"/>
        <v>6000</v>
      </c>
      <c r="E21">
        <f t="shared" si="2"/>
        <v>3</v>
      </c>
      <c r="F21">
        <f t="shared" si="3"/>
        <v>18000</v>
      </c>
      <c r="G21">
        <f t="shared" si="4"/>
        <v>49264083</v>
      </c>
      <c r="H21">
        <f t="shared" si="5"/>
        <v>49282083</v>
      </c>
    </row>
    <row r="22" spans="1:8" x14ac:dyDescent="0.25">
      <c r="A22">
        <v>21</v>
      </c>
      <c r="B22">
        <f>ROUNDUP(LOG(B1,A22),0)</f>
        <v>6</v>
      </c>
      <c r="C22">
        <f t="shared" si="0"/>
        <v>3</v>
      </c>
      <c r="D22">
        <f t="shared" si="1"/>
        <v>6000</v>
      </c>
      <c r="E22">
        <f t="shared" si="2"/>
        <v>3</v>
      </c>
      <c r="F22">
        <f t="shared" si="3"/>
        <v>18000</v>
      </c>
      <c r="G22">
        <f t="shared" si="4"/>
        <v>71030204</v>
      </c>
      <c r="H22">
        <f t="shared" si="5"/>
        <v>71048204</v>
      </c>
    </row>
    <row r="23" spans="1:8" x14ac:dyDescent="0.25">
      <c r="A23">
        <v>22</v>
      </c>
      <c r="B23">
        <f>ROUNDUP(LOG(B1,A23),0)</f>
        <v>6</v>
      </c>
      <c r="C23">
        <f t="shared" si="0"/>
        <v>3</v>
      </c>
      <c r="D23">
        <f t="shared" si="1"/>
        <v>6000</v>
      </c>
      <c r="E23">
        <f t="shared" si="2"/>
        <v>3</v>
      </c>
      <c r="F23">
        <f t="shared" si="3"/>
        <v>18000</v>
      </c>
      <c r="G23">
        <f t="shared" si="4"/>
        <v>98643987</v>
      </c>
      <c r="H23">
        <f t="shared" si="5"/>
        <v>98661987</v>
      </c>
    </row>
    <row r="24" spans="1:8" x14ac:dyDescent="0.25">
      <c r="A24">
        <v>23</v>
      </c>
      <c r="B24">
        <f>ROUNDUP(LOG(B1,A24),0)</f>
        <v>6</v>
      </c>
      <c r="C24">
        <f t="shared" si="0"/>
        <v>3</v>
      </c>
      <c r="D24">
        <f t="shared" si="1"/>
        <v>6000</v>
      </c>
      <c r="E24">
        <f t="shared" si="2"/>
        <v>3</v>
      </c>
      <c r="F24">
        <f t="shared" si="3"/>
        <v>18000</v>
      </c>
      <c r="G24">
        <f t="shared" si="4"/>
        <v>133299972</v>
      </c>
      <c r="H24">
        <f t="shared" si="5"/>
        <v>133317972</v>
      </c>
    </row>
    <row r="25" spans="1:8" x14ac:dyDescent="0.25">
      <c r="A25">
        <v>24</v>
      </c>
      <c r="B25">
        <f>ROUNDUP(LOG(B1,A25),0)</f>
        <v>6</v>
      </c>
      <c r="C25">
        <f t="shared" si="0"/>
        <v>3</v>
      </c>
      <c r="D25">
        <f t="shared" si="1"/>
        <v>6000</v>
      </c>
      <c r="E25">
        <f t="shared" si="2"/>
        <v>3</v>
      </c>
      <c r="F25">
        <f t="shared" si="3"/>
        <v>18000</v>
      </c>
      <c r="G25">
        <f t="shared" si="4"/>
        <v>176367059</v>
      </c>
      <c r="H25">
        <f t="shared" si="5"/>
        <v>176385059</v>
      </c>
    </row>
    <row r="26" spans="1:8" x14ac:dyDescent="0.25">
      <c r="A26">
        <v>25</v>
      </c>
      <c r="B26">
        <f>ROUNDUP(LOG(B1,A26),0)</f>
        <v>6</v>
      </c>
      <c r="C26">
        <f t="shared" si="0"/>
        <v>3</v>
      </c>
      <c r="D26">
        <f t="shared" si="1"/>
        <v>6000</v>
      </c>
      <c r="E26">
        <f t="shared" si="2"/>
        <v>3</v>
      </c>
      <c r="F26">
        <f t="shared" si="3"/>
        <v>18000</v>
      </c>
      <c r="G26">
        <f t="shared" si="4"/>
        <v>229404708</v>
      </c>
      <c r="H26">
        <f t="shared" si="5"/>
        <v>229422708</v>
      </c>
    </row>
    <row r="27" spans="1:8" x14ac:dyDescent="0.25">
      <c r="A27">
        <v>26</v>
      </c>
      <c r="B27">
        <f>ROUNDUP(LOG(B1,A27),0)</f>
        <v>6</v>
      </c>
      <c r="C27">
        <f t="shared" si="0"/>
        <v>3</v>
      </c>
      <c r="D27">
        <f t="shared" si="1"/>
        <v>6000</v>
      </c>
      <c r="E27">
        <f t="shared" si="2"/>
        <v>3</v>
      </c>
      <c r="F27">
        <f t="shared" si="3"/>
        <v>18000</v>
      </c>
      <c r="G27">
        <f t="shared" si="4"/>
        <v>294179859</v>
      </c>
      <c r="H27">
        <f t="shared" si="5"/>
        <v>294197859</v>
      </c>
    </row>
    <row r="28" spans="1:8" x14ac:dyDescent="0.25">
      <c r="A28">
        <v>27</v>
      </c>
      <c r="B28">
        <f>ROUNDUP(LOG(B1,A28),0)</f>
        <v>6</v>
      </c>
      <c r="C28">
        <f t="shared" si="0"/>
        <v>3</v>
      </c>
      <c r="D28">
        <f t="shared" si="1"/>
        <v>6000</v>
      </c>
      <c r="E28">
        <f t="shared" si="2"/>
        <v>3</v>
      </c>
      <c r="F28">
        <f t="shared" si="3"/>
        <v>18000</v>
      </c>
      <c r="G28">
        <f t="shared" si="4"/>
        <v>372684572</v>
      </c>
      <c r="H28">
        <f t="shared" si="5"/>
        <v>372702572</v>
      </c>
    </row>
    <row r="29" spans="1:8" x14ac:dyDescent="0.25">
      <c r="A29">
        <v>28</v>
      </c>
      <c r="B29">
        <f>ROUNDUP(LOG(B1,A29),0)</f>
        <v>5</v>
      </c>
      <c r="C29">
        <f t="shared" si="0"/>
        <v>3</v>
      </c>
      <c r="D29">
        <f t="shared" si="1"/>
        <v>5000</v>
      </c>
      <c r="E29">
        <f t="shared" si="2"/>
        <v>3</v>
      </c>
      <c r="F29">
        <f t="shared" si="3"/>
        <v>15000</v>
      </c>
      <c r="G29">
        <f t="shared" si="4"/>
        <v>2474451</v>
      </c>
      <c r="H29">
        <f t="shared" si="5"/>
        <v>2489451</v>
      </c>
    </row>
    <row r="30" spans="1:8" x14ac:dyDescent="0.25">
      <c r="A30">
        <v>29</v>
      </c>
      <c r="B30">
        <f>ROUNDUP(LOG(B1,A30),0)</f>
        <v>5</v>
      </c>
      <c r="C30">
        <f t="shared" si="0"/>
        <v>3</v>
      </c>
      <c r="D30">
        <f t="shared" si="1"/>
        <v>5000</v>
      </c>
      <c r="E30">
        <f t="shared" si="2"/>
        <v>3</v>
      </c>
      <c r="F30">
        <f t="shared" si="3"/>
        <v>15000</v>
      </c>
      <c r="G30">
        <f t="shared" si="4"/>
        <v>5775232</v>
      </c>
      <c r="H30">
        <f t="shared" si="5"/>
        <v>5790232</v>
      </c>
    </row>
    <row r="31" spans="1:8" x14ac:dyDescent="0.25">
      <c r="A31">
        <v>30</v>
      </c>
      <c r="B31">
        <f>ROUNDUP(LOG(B1,A31),0)</f>
        <v>5</v>
      </c>
      <c r="C31">
        <f t="shared" si="0"/>
        <v>3</v>
      </c>
      <c r="D31">
        <f t="shared" si="1"/>
        <v>5000</v>
      </c>
      <c r="E31">
        <f t="shared" si="2"/>
        <v>3</v>
      </c>
      <c r="F31">
        <f t="shared" si="3"/>
        <v>15000</v>
      </c>
      <c r="G31">
        <f t="shared" si="4"/>
        <v>9564083</v>
      </c>
      <c r="H31">
        <f t="shared" si="5"/>
        <v>9579083</v>
      </c>
    </row>
    <row r="32" spans="1:8" x14ac:dyDescent="0.25">
      <c r="A32">
        <v>31</v>
      </c>
      <c r="B32">
        <f>ROUNDUP(LOG(B1,A32),0)</f>
        <v>5</v>
      </c>
      <c r="C32">
        <f t="shared" si="0"/>
        <v>3</v>
      </c>
      <c r="D32">
        <f t="shared" si="1"/>
        <v>5000</v>
      </c>
      <c r="E32">
        <f t="shared" si="2"/>
        <v>3</v>
      </c>
      <c r="F32">
        <f t="shared" si="3"/>
        <v>15000</v>
      </c>
      <c r="G32">
        <f t="shared" si="4"/>
        <v>13893234</v>
      </c>
      <c r="H32">
        <f t="shared" si="5"/>
        <v>13908234</v>
      </c>
    </row>
    <row r="33" spans="1:8" x14ac:dyDescent="0.25">
      <c r="A33">
        <v>32</v>
      </c>
      <c r="B33">
        <f>ROUNDUP(LOG(B1,A33),0)</f>
        <v>5</v>
      </c>
      <c r="C33">
        <f t="shared" si="0"/>
        <v>3</v>
      </c>
      <c r="D33">
        <f t="shared" si="1"/>
        <v>5000</v>
      </c>
      <c r="E33">
        <f t="shared" si="2"/>
        <v>3</v>
      </c>
      <c r="F33">
        <f t="shared" si="3"/>
        <v>15000</v>
      </c>
      <c r="G33">
        <f t="shared" si="4"/>
        <v>18818515</v>
      </c>
      <c r="H33">
        <f t="shared" si="5"/>
        <v>18833515</v>
      </c>
    </row>
    <row r="34" spans="1:8" x14ac:dyDescent="0.25">
      <c r="A34">
        <v>33</v>
      </c>
      <c r="B34">
        <f>ROUNDUP(LOG(B1,A34),0)</f>
        <v>5</v>
      </c>
      <c r="C34">
        <f t="shared" si="0"/>
        <v>3</v>
      </c>
      <c r="D34">
        <f t="shared" si="1"/>
        <v>5000</v>
      </c>
      <c r="E34">
        <f t="shared" si="2"/>
        <v>3</v>
      </c>
      <c r="F34">
        <f t="shared" si="3"/>
        <v>15000</v>
      </c>
      <c r="G34">
        <f t="shared" si="4"/>
        <v>24399476</v>
      </c>
      <c r="H34">
        <f t="shared" si="5"/>
        <v>24414476</v>
      </c>
    </row>
    <row r="35" spans="1:8" x14ac:dyDescent="0.25">
      <c r="A35">
        <v>34</v>
      </c>
      <c r="B35">
        <f>ROUNDUP(LOG(B1,A35),0)</f>
        <v>5</v>
      </c>
      <c r="C35">
        <f t="shared" si="0"/>
        <v>3</v>
      </c>
      <c r="D35">
        <f t="shared" si="1"/>
        <v>5000</v>
      </c>
      <c r="E35">
        <f t="shared" si="2"/>
        <v>3</v>
      </c>
      <c r="F35">
        <f t="shared" si="3"/>
        <v>15000</v>
      </c>
      <c r="G35">
        <f t="shared" si="4"/>
        <v>30699507</v>
      </c>
      <c r="H35">
        <f t="shared" si="5"/>
        <v>30714507</v>
      </c>
    </row>
    <row r="36" spans="1:8" x14ac:dyDescent="0.25">
      <c r="A36">
        <v>35</v>
      </c>
      <c r="B36">
        <f>ROUNDUP(LOG(B1,A36),0)</f>
        <v>5</v>
      </c>
      <c r="C36">
        <f t="shared" si="0"/>
        <v>3</v>
      </c>
      <c r="D36">
        <f t="shared" si="1"/>
        <v>5000</v>
      </c>
      <c r="E36">
        <f t="shared" si="2"/>
        <v>3</v>
      </c>
      <c r="F36">
        <f t="shared" si="3"/>
        <v>15000</v>
      </c>
      <c r="G36">
        <f t="shared" si="4"/>
        <v>37785958</v>
      </c>
      <c r="H36">
        <f t="shared" si="5"/>
        <v>37800958</v>
      </c>
    </row>
    <row r="37" spans="1:8" x14ac:dyDescent="0.25">
      <c r="A37">
        <v>36</v>
      </c>
      <c r="B37">
        <f>ROUNDUP(LOG(B1,A37),0)</f>
        <v>5</v>
      </c>
      <c r="C37">
        <f t="shared" si="0"/>
        <v>3</v>
      </c>
      <c r="D37">
        <f t="shared" si="1"/>
        <v>5000</v>
      </c>
      <c r="E37">
        <f t="shared" si="2"/>
        <v>3</v>
      </c>
      <c r="F37">
        <f t="shared" si="3"/>
        <v>15000</v>
      </c>
      <c r="G37">
        <f t="shared" si="4"/>
        <v>45730259</v>
      </c>
      <c r="H37">
        <f t="shared" si="5"/>
        <v>45745259</v>
      </c>
    </row>
    <row r="38" spans="1:8" x14ac:dyDescent="0.25">
      <c r="A38">
        <v>37</v>
      </c>
      <c r="B38">
        <f>ROUNDUP(LOG(B1,A38),0)</f>
        <v>5</v>
      </c>
      <c r="C38">
        <f t="shared" si="0"/>
        <v>3</v>
      </c>
      <c r="D38">
        <f t="shared" si="1"/>
        <v>5000</v>
      </c>
      <c r="E38">
        <f t="shared" si="2"/>
        <v>3</v>
      </c>
      <c r="F38">
        <f t="shared" si="3"/>
        <v>15000</v>
      </c>
      <c r="G38">
        <f t="shared" si="4"/>
        <v>54608040</v>
      </c>
      <c r="H38">
        <f t="shared" si="5"/>
        <v>54623040</v>
      </c>
    </row>
    <row r="39" spans="1:8" x14ac:dyDescent="0.25">
      <c r="A39">
        <v>38</v>
      </c>
      <c r="B39">
        <f>ROUNDUP(LOG(B1,A39),0)</f>
        <v>5</v>
      </c>
      <c r="C39">
        <f t="shared" si="0"/>
        <v>3</v>
      </c>
      <c r="D39">
        <f t="shared" si="1"/>
        <v>5000</v>
      </c>
      <c r="E39">
        <f t="shared" si="2"/>
        <v>3</v>
      </c>
      <c r="F39">
        <f t="shared" si="3"/>
        <v>15000</v>
      </c>
      <c r="G39">
        <f t="shared" si="4"/>
        <v>64499251</v>
      </c>
      <c r="H39">
        <f t="shared" si="5"/>
        <v>64514251</v>
      </c>
    </row>
    <row r="40" spans="1:8" x14ac:dyDescent="0.25">
      <c r="A40">
        <v>39</v>
      </c>
      <c r="B40">
        <f>ROUNDUP(LOG(B1,A40),0)</f>
        <v>5</v>
      </c>
      <c r="C40">
        <f t="shared" si="0"/>
        <v>3</v>
      </c>
      <c r="D40">
        <f t="shared" si="1"/>
        <v>5000</v>
      </c>
      <c r="E40">
        <f t="shared" si="2"/>
        <v>3</v>
      </c>
      <c r="F40">
        <f t="shared" si="3"/>
        <v>15000</v>
      </c>
      <c r="G40">
        <f t="shared" si="4"/>
        <v>75488282</v>
      </c>
      <c r="H40">
        <f t="shared" si="5"/>
        <v>75503282</v>
      </c>
    </row>
    <row r="41" spans="1:8" x14ac:dyDescent="0.25">
      <c r="A41">
        <v>40</v>
      </c>
      <c r="B41">
        <f>ROUNDUP(LOG(B1,A41),0)</f>
        <v>5</v>
      </c>
      <c r="C41">
        <f t="shared" si="0"/>
        <v>3</v>
      </c>
      <c r="D41">
        <f t="shared" si="1"/>
        <v>5000</v>
      </c>
      <c r="E41">
        <f t="shared" si="2"/>
        <v>3</v>
      </c>
      <c r="F41">
        <f t="shared" si="3"/>
        <v>15000</v>
      </c>
      <c r="G41">
        <f t="shared" si="4"/>
        <v>87664083</v>
      </c>
      <c r="H41">
        <f t="shared" si="5"/>
        <v>87679083</v>
      </c>
    </row>
    <row r="42" spans="1:8" x14ac:dyDescent="0.25">
      <c r="A42">
        <v>41</v>
      </c>
      <c r="B42">
        <f>ROUNDUP(LOG(B1,A42),0)</f>
        <v>5</v>
      </c>
      <c r="C42">
        <f t="shared" si="0"/>
        <v>3</v>
      </c>
      <c r="D42">
        <f t="shared" si="1"/>
        <v>5000</v>
      </c>
      <c r="E42">
        <f t="shared" si="2"/>
        <v>3</v>
      </c>
      <c r="F42">
        <f t="shared" si="3"/>
        <v>15000</v>
      </c>
      <c r="G42">
        <f t="shared" si="4"/>
        <v>101120284</v>
      </c>
      <c r="H42">
        <f t="shared" si="5"/>
        <v>101135284</v>
      </c>
    </row>
    <row r="43" spans="1:8" x14ac:dyDescent="0.25">
      <c r="A43">
        <v>42</v>
      </c>
      <c r="B43">
        <f>ROUNDUP(LOG(B1,A43),0)</f>
        <v>5</v>
      </c>
      <c r="C43">
        <f t="shared" si="0"/>
        <v>3</v>
      </c>
      <c r="D43">
        <f t="shared" si="1"/>
        <v>5000</v>
      </c>
      <c r="E43">
        <f t="shared" si="2"/>
        <v>3</v>
      </c>
      <c r="F43">
        <f t="shared" si="3"/>
        <v>15000</v>
      </c>
      <c r="G43">
        <f t="shared" si="4"/>
        <v>115955315</v>
      </c>
      <c r="H43">
        <f t="shared" si="5"/>
        <v>115970315</v>
      </c>
    </row>
    <row r="44" spans="1:8" x14ac:dyDescent="0.25">
      <c r="A44">
        <v>43</v>
      </c>
      <c r="B44">
        <f>ROUNDUP(LOG(B1,A44),0)</f>
        <v>5</v>
      </c>
      <c r="C44">
        <f t="shared" si="0"/>
        <v>3</v>
      </c>
      <c r="D44">
        <f t="shared" si="1"/>
        <v>5000</v>
      </c>
      <c r="E44">
        <f t="shared" si="2"/>
        <v>3</v>
      </c>
      <c r="F44">
        <f t="shared" si="3"/>
        <v>15000</v>
      </c>
      <c r="G44">
        <f t="shared" si="4"/>
        <v>132272526</v>
      </c>
      <c r="H44">
        <f t="shared" si="5"/>
        <v>132287526</v>
      </c>
    </row>
    <row r="45" spans="1:8" x14ac:dyDescent="0.25">
      <c r="A45">
        <v>44</v>
      </c>
      <c r="B45">
        <f>ROUNDUP(LOG(B1,A45),0)</f>
        <v>5</v>
      </c>
      <c r="C45">
        <f t="shared" si="0"/>
        <v>3</v>
      </c>
      <c r="D45">
        <f t="shared" si="1"/>
        <v>5000</v>
      </c>
      <c r="E45">
        <f t="shared" si="2"/>
        <v>3</v>
      </c>
      <c r="F45">
        <f t="shared" si="3"/>
        <v>15000</v>
      </c>
      <c r="G45">
        <f t="shared" si="4"/>
        <v>150180307</v>
      </c>
      <c r="H45">
        <f t="shared" si="5"/>
        <v>150195307</v>
      </c>
    </row>
    <row r="46" spans="1:8" x14ac:dyDescent="0.25">
      <c r="A46">
        <v>45</v>
      </c>
      <c r="B46">
        <f>ROUNDUP(LOG(B1,A46),0)</f>
        <v>5</v>
      </c>
      <c r="C46">
        <f t="shared" si="0"/>
        <v>3</v>
      </c>
      <c r="D46">
        <f t="shared" si="1"/>
        <v>5000</v>
      </c>
      <c r="E46">
        <f t="shared" si="2"/>
        <v>3</v>
      </c>
      <c r="F46">
        <f t="shared" si="3"/>
        <v>15000</v>
      </c>
      <c r="G46">
        <f t="shared" si="4"/>
        <v>169792208</v>
      </c>
      <c r="H46">
        <f t="shared" si="5"/>
        <v>169807208</v>
      </c>
    </row>
    <row r="47" spans="1:8" x14ac:dyDescent="0.25">
      <c r="A47">
        <v>46</v>
      </c>
      <c r="B47">
        <f>ROUNDUP(LOG(B1,A47),0)</f>
        <v>5</v>
      </c>
      <c r="C47">
        <f t="shared" si="0"/>
        <v>3</v>
      </c>
      <c r="D47">
        <f t="shared" si="1"/>
        <v>5000</v>
      </c>
      <c r="E47">
        <f t="shared" si="2"/>
        <v>3</v>
      </c>
      <c r="F47">
        <f t="shared" si="3"/>
        <v>15000</v>
      </c>
      <c r="G47">
        <f t="shared" si="4"/>
        <v>191227059</v>
      </c>
      <c r="H47">
        <f t="shared" si="5"/>
        <v>191242059</v>
      </c>
    </row>
    <row r="48" spans="1:8" x14ac:dyDescent="0.25">
      <c r="A48">
        <v>47</v>
      </c>
      <c r="B48">
        <f>ROUNDUP(LOG(B1,A48),0)</f>
        <v>5</v>
      </c>
      <c r="C48">
        <f t="shared" si="0"/>
        <v>3</v>
      </c>
      <c r="D48">
        <f t="shared" si="1"/>
        <v>5000</v>
      </c>
      <c r="E48">
        <f t="shared" si="2"/>
        <v>3</v>
      </c>
      <c r="F48">
        <f t="shared" si="3"/>
        <v>15000</v>
      </c>
      <c r="G48">
        <f t="shared" si="4"/>
        <v>214609090</v>
      </c>
      <c r="H48">
        <f t="shared" si="5"/>
        <v>214624090</v>
      </c>
    </row>
    <row r="49" spans="1:8" x14ac:dyDescent="0.25">
      <c r="A49">
        <v>48</v>
      </c>
      <c r="B49">
        <f>ROUNDUP(LOG(B1,A49),0)</f>
        <v>5</v>
      </c>
      <c r="C49">
        <f t="shared" si="0"/>
        <v>3</v>
      </c>
      <c r="D49">
        <f t="shared" si="1"/>
        <v>5000</v>
      </c>
      <c r="E49">
        <f t="shared" si="2"/>
        <v>3</v>
      </c>
      <c r="F49">
        <f t="shared" si="3"/>
        <v>15000</v>
      </c>
      <c r="G49">
        <f t="shared" si="4"/>
        <v>240068051</v>
      </c>
      <c r="H49">
        <f t="shared" si="5"/>
        <v>240083051</v>
      </c>
    </row>
    <row r="50" spans="1:8" x14ac:dyDescent="0.25">
      <c r="A50">
        <v>49</v>
      </c>
      <c r="B50">
        <f>ROUNDUP(LOG(B1,A50),0)</f>
        <v>5</v>
      </c>
      <c r="C50">
        <f t="shared" si="0"/>
        <v>3</v>
      </c>
      <c r="D50">
        <f t="shared" si="1"/>
        <v>5000</v>
      </c>
      <c r="E50">
        <f t="shared" si="2"/>
        <v>3</v>
      </c>
      <c r="F50">
        <f t="shared" si="3"/>
        <v>15000</v>
      </c>
      <c r="G50">
        <f t="shared" si="4"/>
        <v>267739332</v>
      </c>
      <c r="H50">
        <f t="shared" si="5"/>
        <v>267754332</v>
      </c>
    </row>
    <row r="51" spans="1:8" x14ac:dyDescent="0.25">
      <c r="A51">
        <v>50</v>
      </c>
      <c r="B51">
        <f>ROUNDUP(LOG(B1,A51),0)</f>
        <v>5</v>
      </c>
      <c r="C51">
        <f t="shared" si="0"/>
        <v>3</v>
      </c>
      <c r="D51">
        <f t="shared" si="1"/>
        <v>5000</v>
      </c>
      <c r="E51">
        <f t="shared" si="2"/>
        <v>3</v>
      </c>
      <c r="F51">
        <f t="shared" si="3"/>
        <v>15000</v>
      </c>
      <c r="G51">
        <f t="shared" si="4"/>
        <v>297764083</v>
      </c>
      <c r="H51">
        <f t="shared" si="5"/>
        <v>297779083</v>
      </c>
    </row>
    <row r="52" spans="1:8" x14ac:dyDescent="0.25">
      <c r="A52">
        <v>51</v>
      </c>
      <c r="B52">
        <f>ROUNDUP(LOG(B1,A52),0)</f>
        <v>5</v>
      </c>
      <c r="C52">
        <f t="shared" si="0"/>
        <v>3</v>
      </c>
      <c r="D52">
        <f t="shared" si="1"/>
        <v>5000</v>
      </c>
      <c r="E52">
        <f t="shared" si="2"/>
        <v>3</v>
      </c>
      <c r="F52">
        <f t="shared" si="3"/>
        <v>15000</v>
      </c>
      <c r="G52">
        <f t="shared" si="4"/>
        <v>330289334</v>
      </c>
      <c r="H52">
        <f t="shared" si="5"/>
        <v>330304334</v>
      </c>
    </row>
    <row r="53" spans="1:8" x14ac:dyDescent="0.25">
      <c r="A53">
        <v>52</v>
      </c>
      <c r="B53">
        <f>ROUNDUP(LOG(B1,A53),0)</f>
        <v>5</v>
      </c>
      <c r="C53">
        <f t="shared" si="0"/>
        <v>3</v>
      </c>
      <c r="D53">
        <f t="shared" si="1"/>
        <v>5000</v>
      </c>
      <c r="E53">
        <f t="shared" si="2"/>
        <v>3</v>
      </c>
      <c r="F53">
        <f t="shared" si="3"/>
        <v>15000</v>
      </c>
      <c r="G53">
        <f t="shared" si="4"/>
        <v>365468115</v>
      </c>
      <c r="H53">
        <f t="shared" si="5"/>
        <v>365483115</v>
      </c>
    </row>
    <row r="54" spans="1:8" x14ac:dyDescent="0.25">
      <c r="A54">
        <v>53</v>
      </c>
      <c r="B54">
        <f>ROUNDUP(LOG(B1,A54),0)</f>
        <v>5</v>
      </c>
      <c r="C54">
        <f t="shared" si="0"/>
        <v>3</v>
      </c>
      <c r="D54">
        <f t="shared" si="1"/>
        <v>5000</v>
      </c>
      <c r="E54">
        <f t="shared" si="2"/>
        <v>3</v>
      </c>
      <c r="F54">
        <f t="shared" si="3"/>
        <v>15000</v>
      </c>
      <c r="G54">
        <f t="shared" si="4"/>
        <v>403459576</v>
      </c>
      <c r="H54">
        <f t="shared" si="5"/>
        <v>403474576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ADMINISTRACIÓN LICENCIAS LABORATORIOS</dc:creator>
  <cp:lastModifiedBy>ADMINISTRACIÓN LICENCIAS LABORATORIOS</cp:lastModifiedBy>
  <dcterms:created xsi:type="dcterms:W3CDTF">2026-08-11T16:03:06Z</dcterms:created>
  <dcterms:modified xsi:type="dcterms:W3CDTF">2026-08-11T16:52:31Z</dcterms:modified>
</cp:coreProperties>
</file>